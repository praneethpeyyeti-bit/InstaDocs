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saipraneethkumar_peyyeti_uipath_com/Documents/Documents/My_Drive/Hackweek/2026/InstaDocs/Templates/"/>
    </mc:Choice>
  </mc:AlternateContent>
  <xr:revisionPtr revIDLastSave="3" documentId="13_ncr:1_{E7A781CB-D614-4F12-AD1F-C2EE20E085F4}" xr6:coauthVersionLast="47" xr6:coauthVersionMax="47" xr10:uidLastSave="{247A0EA5-43F6-4CCC-8AD7-AD82E13ECBCD}"/>
  <bookViews>
    <workbookView xWindow="-110" yWindow="-110" windowWidth="19420" windowHeight="11500" xr2:uid="{7C0108EA-3E49-4E06-8F48-F8903EF7AA47}"/>
  </bookViews>
  <sheets>
    <sheet name="UAT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N9" i="1"/>
  <c r="R8" i="1"/>
  <c r="P8" i="1"/>
  <c r="N8" i="1"/>
  <c r="F1" i="1"/>
  <c r="F2" i="1"/>
  <c r="F3" i="1"/>
  <c r="F4" i="1"/>
  <c r="F5" i="1" l="1"/>
  <c r="G5" i="1" s="1"/>
  <c r="G1" i="1" l="1"/>
  <c r="G3" i="1"/>
  <c r="G2" i="1"/>
  <c r="G4" i="1"/>
</calcChain>
</file>

<file path=xl/sharedStrings.xml><?xml version="1.0" encoding="utf-8"?>
<sst xmlns="http://schemas.openxmlformats.org/spreadsheetml/2006/main" count="52" uniqueCount="44">
  <si>
    <t>Process Name</t>
  </si>
  <si>
    <t>XYZ</t>
  </si>
  <si>
    <t>Pass</t>
  </si>
  <si>
    <t>Process Owner</t>
  </si>
  <si>
    <t>Fail (Low Sev.)</t>
  </si>
  <si>
    <t>Robot Name</t>
  </si>
  <si>
    <t>Fail (Med/High Sev.)</t>
  </si>
  <si>
    <t>Machine Name</t>
  </si>
  <si>
    <t>Not Run</t>
  </si>
  <si>
    <t>Total</t>
  </si>
  <si>
    <t>(examples are provided in grey, replace it with process specific data)</t>
  </si>
  <si>
    <t>#</t>
  </si>
  <si>
    <t>Requirement</t>
  </si>
  <si>
    <t>Additional Testing Details</t>
  </si>
  <si>
    <t>Case ID</t>
  </si>
  <si>
    <t>Type</t>
  </si>
  <si>
    <t>Status</t>
  </si>
  <si>
    <t>Fail Severity</t>
  </si>
  <si>
    <t>Expected Result / screenshots</t>
  </si>
  <si>
    <t>Actual Result / screenshots</t>
  </si>
  <si>
    <t>Defect ID</t>
  </si>
  <si>
    <t>Fail Reason/Next Action</t>
  </si>
  <si>
    <t>Screenshots</t>
  </si>
  <si>
    <t>Author</t>
  </si>
  <si>
    <t>Create Date</t>
  </si>
  <si>
    <t>Executor</t>
  </si>
  <si>
    <t>Run Date</t>
  </si>
  <si>
    <t>Approver</t>
  </si>
  <si>
    <t>Approval Date</t>
  </si>
  <si>
    <t>Example 1</t>
  </si>
  <si>
    <t>If Application A input value = "Yes" then solution should select "Confirmed" in Application B</t>
  </si>
  <si>
    <t>Positive</t>
  </si>
  <si>
    <t>N/A</t>
  </si>
  <si>
    <t>"Confirmed" selected in Application B</t>
  </si>
  <si>
    <t>John D.</t>
  </si>
  <si>
    <t>Jane D.</t>
  </si>
  <si>
    <t>Example 2</t>
  </si>
  <si>
    <t>If Application A input value &lt;&gt; "Yes" then solution should generate a business rule exception message to user</t>
  </si>
  <si>
    <t>Negative</t>
  </si>
  <si>
    <t>Fail</t>
  </si>
  <si>
    <t>Low</t>
  </si>
  <si>
    <t>Exception message to be generated to user</t>
  </si>
  <si>
    <t>Exception message was not generated</t>
  </si>
  <si>
    <t>Application A input was "Not Found" instead of "No" -- bot was not set up for this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</si>
</sst>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i/>
      <sz val="11"/>
      <color theme="0" tint="-0.499984740745262"/>
      <name val="Calibri"/>
      <family val="2"/>
      <scheme val="minor"/>
    </font>
    <font>
      <i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46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9" fontId="3" fillId="0" borderId="1" xfId="1" applyFont="1" applyBorder="1" applyAlignment="1">
      <alignment horizontal="center" vertical="center" wrapText="1"/>
    </xf>
    <xf numFmtId="9" fontId="3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A4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E3D7-8987-4241-9F7D-99F398BE6028}">
  <sheetPr codeName="Sheet2"/>
  <dimension ref="A1:R1048576"/>
  <sheetViews>
    <sheetView showGridLines="0" tabSelected="1" zoomScale="85" zoomScaleNormal="85" workbookViewId="0">
      <selection activeCell="D9" sqref="D9"/>
    </sheetView>
  </sheetViews>
  <sheetFormatPr defaultColWidth="8.54296875" defaultRowHeight="12.5" outlineLevelCol="1" x14ac:dyDescent="0.35"/>
  <cols>
    <col min="1" max="1" width="16.54296875" style="6" bestFit="1" customWidth="1"/>
    <col min="2" max="2" width="39.7265625" style="7" customWidth="1"/>
    <col min="3" max="3" width="16.81640625" style="7" customWidth="1" outlineLevel="1"/>
    <col min="4" max="4" width="10.81640625" style="12" customWidth="1"/>
    <col min="5" max="5" width="20" style="6" customWidth="1"/>
    <col min="6" max="7" width="15.54296875" style="6" customWidth="1"/>
    <col min="8" max="8" width="33.26953125" style="7" bestFit="1" customWidth="1"/>
    <col min="9" max="9" width="23.7265625" style="7" customWidth="1"/>
    <col min="10" max="10" width="11.7265625" style="7" bestFit="1" customWidth="1"/>
    <col min="11" max="11" width="42.54296875" style="7" customWidth="1"/>
    <col min="12" max="12" width="21.81640625" style="7" hidden="1" customWidth="1"/>
    <col min="13" max="13" width="16.54296875" style="6" customWidth="1"/>
    <col min="14" max="14" width="15.54296875" style="6" customWidth="1"/>
    <col min="15" max="15" width="16.54296875" style="6" customWidth="1"/>
    <col min="16" max="16" width="15.54296875" style="6" customWidth="1"/>
    <col min="17" max="17" width="16.54296875" style="6" customWidth="1"/>
    <col min="18" max="18" width="15.54296875" style="6" customWidth="1"/>
    <col min="19" max="16384" width="8.54296875" style="3"/>
  </cols>
  <sheetData>
    <row r="1" spans="1:18" ht="15.5" x14ac:dyDescent="0.35">
      <c r="A1" s="13" t="s">
        <v>0</v>
      </c>
      <c r="B1" s="24" t="s">
        <v>1</v>
      </c>
      <c r="E1" s="13" t="s">
        <v>2</v>
      </c>
      <c r="F1" s="11">
        <f>+COUNTIFS($F$8:$F$74,"Pass")</f>
        <v>1</v>
      </c>
      <c r="G1" s="14">
        <f>+IFERROR(F1/F$5,"")</f>
        <v>0.5</v>
      </c>
      <c r="H1" s="15"/>
    </row>
    <row r="2" spans="1:18" ht="15.5" x14ac:dyDescent="0.35">
      <c r="A2" s="13" t="s">
        <v>3</v>
      </c>
      <c r="B2" s="24" t="s">
        <v>1</v>
      </c>
      <c r="E2" s="13" t="s">
        <v>4</v>
      </c>
      <c r="F2" s="11">
        <f>+COUNTIFS($F$8:$F$74,"Fail",$G$8:$G$74,"Low")</f>
        <v>1</v>
      </c>
      <c r="G2" s="14">
        <f t="shared" ref="G2:G3" si="0">+IFERROR(F2/F$5,"")</f>
        <v>0.5</v>
      </c>
      <c r="H2" s="15"/>
    </row>
    <row r="3" spans="1:18" ht="15.5" x14ac:dyDescent="0.35">
      <c r="A3" s="13" t="s">
        <v>5</v>
      </c>
      <c r="B3" s="24">
        <v>123</v>
      </c>
      <c r="E3" s="13" t="s">
        <v>6</v>
      </c>
      <c r="F3" s="11">
        <f>+COUNTIFS($F$8:$F$74,"Fail",$G$8:$G$74,"Med")+COUNTIFS($F$8:$F$74,"Fail",$G$8:$G$74,"High")</f>
        <v>0</v>
      </c>
      <c r="G3" s="14">
        <f t="shared" si="0"/>
        <v>0</v>
      </c>
      <c r="H3" s="15"/>
    </row>
    <row r="4" spans="1:18" ht="15.5" x14ac:dyDescent="0.35">
      <c r="A4" s="13" t="s">
        <v>7</v>
      </c>
      <c r="B4" s="24">
        <v>567</v>
      </c>
      <c r="E4" s="13" t="s">
        <v>8</v>
      </c>
      <c r="F4" s="11">
        <f>+COUNTIFS($F$8:$F$74,"Not Run")</f>
        <v>0</v>
      </c>
      <c r="G4" s="14">
        <f>+IFERROR(F4/F$5,"")</f>
        <v>0</v>
      </c>
      <c r="H4" s="15"/>
    </row>
    <row r="5" spans="1:18" ht="15.5" x14ac:dyDescent="0.35">
      <c r="E5" s="13" t="s">
        <v>9</v>
      </c>
      <c r="F5" s="11">
        <f>+SUM(F1:F4)</f>
        <v>2</v>
      </c>
      <c r="G5" s="14">
        <f>+IFERROR(F5/F$5,"")</f>
        <v>1</v>
      </c>
      <c r="H5" s="15"/>
    </row>
    <row r="6" spans="1:18" ht="14.5" x14ac:dyDescent="0.35">
      <c r="A6" s="16" t="s">
        <v>10</v>
      </c>
      <c r="H6" s="6"/>
    </row>
    <row r="7" spans="1:18" s="8" customFormat="1" ht="31" x14ac:dyDescent="0.35">
      <c r="A7" s="1" t="s">
        <v>11</v>
      </c>
      <c r="B7" s="2" t="s">
        <v>12</v>
      </c>
      <c r="C7" s="2" t="s">
        <v>13</v>
      </c>
      <c r="D7" s="2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</row>
    <row r="8" spans="1:18" s="23" customFormat="1" ht="41.5" customHeight="1" x14ac:dyDescent="0.35">
      <c r="A8" s="17" t="s">
        <v>29</v>
      </c>
      <c r="B8" s="18" t="s">
        <v>30</v>
      </c>
      <c r="C8" s="18"/>
      <c r="D8" s="19">
        <v>17854</v>
      </c>
      <c r="E8" s="17" t="s">
        <v>31</v>
      </c>
      <c r="F8" s="17" t="s">
        <v>2</v>
      </c>
      <c r="G8" s="20" t="s">
        <v>32</v>
      </c>
      <c r="H8" s="21" t="s">
        <v>33</v>
      </c>
      <c r="I8" s="21" t="s">
        <v>33</v>
      </c>
      <c r="J8" s="21"/>
      <c r="K8" s="18" t="s">
        <v>32</v>
      </c>
      <c r="L8" s="18"/>
      <c r="M8" s="17" t="s">
        <v>34</v>
      </c>
      <c r="N8" s="22">
        <f ca="1">+TODAY()-7</f>
        <v>46198</v>
      </c>
      <c r="O8" s="17" t="s">
        <v>35</v>
      </c>
      <c r="P8" s="22">
        <f ca="1">+TODAY()</f>
        <v>46205</v>
      </c>
      <c r="Q8" s="17" t="s">
        <v>35</v>
      </c>
      <c r="R8" s="22">
        <f ca="1">+TODAY()</f>
        <v>46205</v>
      </c>
    </row>
    <row r="9" spans="1:18" s="23" customFormat="1" ht="42" customHeight="1" x14ac:dyDescent="0.35">
      <c r="A9" s="17" t="s">
        <v>36</v>
      </c>
      <c r="B9" s="18" t="s">
        <v>37</v>
      </c>
      <c r="C9" s="18"/>
      <c r="D9" s="19">
        <v>17855</v>
      </c>
      <c r="E9" s="17" t="s">
        <v>38</v>
      </c>
      <c r="F9" s="17" t="s">
        <v>39</v>
      </c>
      <c r="G9" s="20" t="s">
        <v>40</v>
      </c>
      <c r="H9" s="21" t="s">
        <v>41</v>
      </c>
      <c r="I9" s="21" t="s">
        <v>42</v>
      </c>
      <c r="J9" s="21"/>
      <c r="K9" s="18" t="s">
        <v>43</v>
      </c>
      <c r="L9" s="18"/>
      <c r="M9" s="17" t="s">
        <v>34</v>
      </c>
      <c r="N9" s="22">
        <f ca="1">+TODAY()-7</f>
        <v>46198</v>
      </c>
      <c r="O9" s="17" t="s">
        <v>35</v>
      </c>
      <c r="P9" s="22">
        <f ca="1">+TODAY()</f>
        <v>46205</v>
      </c>
      <c r="Q9" s="17" t="s">
        <v>35</v>
      </c>
      <c r="R9" s="22"/>
    </row>
    <row r="10" spans="1:18" ht="45.65" customHeight="1" x14ac:dyDescent="0.35">
      <c r="A10" s="4"/>
      <c r="B10" s="5"/>
      <c r="C10" s="5"/>
      <c r="D10" s="11"/>
      <c r="E10" s="10"/>
      <c r="F10" s="4"/>
      <c r="G10" s="11"/>
      <c r="H10" s="5"/>
      <c r="I10" s="5"/>
      <c r="J10" s="5"/>
      <c r="K10" s="5"/>
      <c r="L10" s="5"/>
      <c r="M10" s="4"/>
      <c r="N10" s="9"/>
      <c r="O10" s="4"/>
      <c r="P10" s="9"/>
      <c r="Q10" s="4"/>
      <c r="R10" s="9"/>
    </row>
    <row r="11" spans="1:18" ht="44.5" customHeight="1" x14ac:dyDescent="0.35">
      <c r="A11" s="4"/>
      <c r="B11" s="5"/>
      <c r="C11" s="5"/>
      <c r="D11" s="11"/>
      <c r="E11" s="10"/>
      <c r="F11" s="4"/>
      <c r="G11" s="11"/>
      <c r="H11" s="5"/>
      <c r="I11" s="5"/>
      <c r="J11" s="5"/>
      <c r="K11" s="5"/>
      <c r="L11" s="5"/>
      <c r="M11" s="4"/>
      <c r="N11" s="9"/>
      <c r="O11" s="4"/>
      <c r="P11" s="9"/>
      <c r="Q11" s="4"/>
      <c r="R11" s="9"/>
    </row>
    <row r="12" spans="1:18" ht="35.5" customHeight="1" x14ac:dyDescent="0.35">
      <c r="A12" s="4"/>
      <c r="B12" s="5"/>
      <c r="C12" s="5"/>
      <c r="D12" s="11"/>
      <c r="E12" s="10"/>
      <c r="F12" s="4"/>
      <c r="G12" s="11"/>
      <c r="H12" s="5"/>
      <c r="I12" s="5"/>
      <c r="J12" s="5"/>
      <c r="K12" s="5"/>
      <c r="L12" s="5"/>
      <c r="M12" s="4"/>
      <c r="N12" s="9"/>
      <c r="O12" s="4"/>
      <c r="P12" s="9"/>
      <c r="Q12" s="4"/>
      <c r="R12" s="9"/>
    </row>
    <row r="13" spans="1:18" ht="45.65" customHeight="1" x14ac:dyDescent="0.35">
      <c r="A13" s="4"/>
      <c r="B13" s="5"/>
      <c r="C13" s="5"/>
      <c r="D13" s="11"/>
      <c r="E13" s="10"/>
      <c r="F13" s="4"/>
      <c r="G13" s="11"/>
      <c r="H13" s="5"/>
      <c r="I13" s="5"/>
      <c r="J13" s="5"/>
      <c r="K13" s="5"/>
      <c r="L13" s="5"/>
      <c r="M13" s="4"/>
      <c r="N13" s="9"/>
      <c r="O13" s="4"/>
      <c r="P13" s="9"/>
      <c r="Q13" s="4"/>
      <c r="R13" s="9"/>
    </row>
    <row r="14" spans="1:18" ht="132.65" customHeight="1" x14ac:dyDescent="0.35">
      <c r="A14" s="4"/>
      <c r="B14" s="5"/>
      <c r="C14" s="5"/>
      <c r="D14" s="11"/>
      <c r="E14" s="10"/>
      <c r="F14" s="4"/>
      <c r="G14" s="11"/>
      <c r="H14" s="5"/>
      <c r="I14" s="5"/>
      <c r="J14" s="5"/>
      <c r="K14" s="5"/>
      <c r="L14" s="5"/>
      <c r="M14" s="4"/>
      <c r="N14" s="9"/>
      <c r="O14" s="4"/>
      <c r="P14" s="9"/>
      <c r="Q14" s="4"/>
      <c r="R14" s="9"/>
    </row>
    <row r="15" spans="1:18" ht="97.5" customHeight="1" x14ac:dyDescent="0.35">
      <c r="A15" s="4"/>
      <c r="B15" s="5"/>
      <c r="C15" s="5"/>
      <c r="D15" s="11"/>
      <c r="E15" s="10"/>
      <c r="F15" s="4"/>
      <c r="G15" s="11"/>
      <c r="H15" s="5"/>
      <c r="I15" s="5"/>
      <c r="J15" s="5"/>
      <c r="K15" s="5"/>
      <c r="L15" s="5"/>
      <c r="M15" s="4"/>
      <c r="N15" s="9"/>
      <c r="O15" s="4"/>
      <c r="P15" s="9"/>
      <c r="Q15" s="4"/>
      <c r="R15" s="9"/>
    </row>
    <row r="16" spans="1:18" ht="37" customHeight="1" x14ac:dyDescent="0.35">
      <c r="A16" s="4"/>
      <c r="B16" s="5"/>
      <c r="C16" s="5"/>
      <c r="D16" s="11"/>
      <c r="E16" s="10"/>
      <c r="F16" s="4"/>
      <c r="G16" s="11"/>
      <c r="H16" s="5"/>
      <c r="I16" s="5"/>
      <c r="J16" s="5"/>
      <c r="K16" s="5"/>
      <c r="L16" s="5"/>
      <c r="M16" s="4"/>
      <c r="N16" s="9"/>
      <c r="O16" s="4"/>
      <c r="P16" s="9"/>
      <c r="Q16" s="4"/>
      <c r="R16" s="9"/>
    </row>
    <row r="17" spans="1:18" ht="25" customHeight="1" x14ac:dyDescent="0.35">
      <c r="A17" s="4"/>
      <c r="B17" s="5"/>
      <c r="C17" s="5"/>
      <c r="D17" s="11"/>
      <c r="E17" s="10"/>
      <c r="F17" s="4"/>
      <c r="G17" s="11"/>
      <c r="H17" s="5"/>
      <c r="I17" s="5"/>
      <c r="J17" s="5"/>
      <c r="K17" s="5"/>
      <c r="L17" s="5"/>
      <c r="M17" s="4"/>
      <c r="N17" s="9"/>
      <c r="O17" s="4"/>
      <c r="P17" s="9"/>
      <c r="Q17" s="4"/>
      <c r="R17" s="9"/>
    </row>
    <row r="18" spans="1:18" ht="62.15" customHeight="1" x14ac:dyDescent="0.35">
      <c r="A18" s="4"/>
      <c r="B18" s="5"/>
      <c r="C18" s="5"/>
      <c r="D18" s="11"/>
      <c r="E18" s="10"/>
      <c r="F18" s="4"/>
      <c r="G18" s="11"/>
      <c r="H18" s="5"/>
      <c r="I18" s="5"/>
      <c r="J18" s="5"/>
      <c r="K18" s="5"/>
      <c r="L18" s="5"/>
      <c r="M18" s="4"/>
      <c r="N18" s="9"/>
      <c r="O18" s="4"/>
      <c r="P18" s="9"/>
      <c r="Q18" s="4"/>
      <c r="R18" s="9"/>
    </row>
    <row r="19" spans="1:18" ht="57" customHeight="1" x14ac:dyDescent="0.35">
      <c r="A19" s="4"/>
      <c r="B19" s="5"/>
      <c r="C19" s="5"/>
      <c r="D19" s="11"/>
      <c r="E19" s="10"/>
      <c r="F19" s="4"/>
      <c r="G19" s="11"/>
      <c r="H19" s="5"/>
      <c r="I19" s="5"/>
      <c r="J19" s="5"/>
      <c r="K19" s="5"/>
      <c r="L19" s="5"/>
      <c r="M19" s="4"/>
      <c r="N19" s="9"/>
      <c r="O19" s="4"/>
      <c r="P19" s="9"/>
      <c r="Q19" s="4"/>
      <c r="R19" s="9"/>
    </row>
    <row r="20" spans="1:18" ht="50.15" customHeight="1" x14ac:dyDescent="0.35">
      <c r="A20" s="4"/>
      <c r="B20" s="5"/>
      <c r="C20" s="5"/>
      <c r="D20" s="11"/>
      <c r="E20" s="10"/>
      <c r="F20" s="4"/>
      <c r="G20" s="11"/>
      <c r="H20" s="5"/>
      <c r="I20" s="5"/>
      <c r="J20" s="5"/>
      <c r="K20" s="5"/>
      <c r="L20" s="5"/>
      <c r="M20" s="4"/>
      <c r="N20" s="9"/>
      <c r="O20" s="4"/>
      <c r="P20" s="9"/>
      <c r="Q20" s="4"/>
      <c r="R20" s="9"/>
    </row>
    <row r="21" spans="1:18" ht="52" customHeight="1" x14ac:dyDescent="0.35">
      <c r="A21" s="4"/>
      <c r="B21" s="5"/>
      <c r="C21" s="5"/>
      <c r="D21" s="11"/>
      <c r="E21" s="10"/>
      <c r="F21" s="4"/>
      <c r="G21" s="11"/>
      <c r="H21" s="5"/>
      <c r="I21" s="5"/>
      <c r="J21" s="5"/>
      <c r="K21" s="5"/>
      <c r="L21" s="5"/>
      <c r="M21" s="4"/>
      <c r="N21" s="9"/>
      <c r="O21" s="4"/>
      <c r="P21" s="9"/>
      <c r="Q21" s="4"/>
      <c r="R21" s="9"/>
    </row>
    <row r="22" spans="1:18" ht="46.5" customHeight="1" x14ac:dyDescent="0.35">
      <c r="A22" s="4"/>
      <c r="B22" s="5"/>
      <c r="C22" s="5"/>
      <c r="D22" s="11"/>
      <c r="E22" s="10"/>
      <c r="F22" s="4"/>
      <c r="G22" s="11"/>
      <c r="H22" s="5"/>
      <c r="I22" s="5"/>
      <c r="J22" s="5"/>
      <c r="K22" s="5"/>
      <c r="L22" s="5"/>
      <c r="M22" s="4"/>
      <c r="N22" s="9"/>
      <c r="O22" s="4"/>
      <c r="P22" s="9"/>
      <c r="Q22" s="4"/>
      <c r="R22" s="9"/>
    </row>
    <row r="23" spans="1:18" ht="32.15" customHeight="1" x14ac:dyDescent="0.35">
      <c r="A23" s="4"/>
      <c r="B23" s="5"/>
      <c r="C23" s="5"/>
      <c r="D23" s="11"/>
      <c r="E23" s="10"/>
      <c r="F23" s="4"/>
      <c r="G23" s="11"/>
      <c r="H23" s="5"/>
      <c r="I23" s="5"/>
      <c r="J23" s="5"/>
      <c r="K23" s="5"/>
      <c r="L23" s="5"/>
      <c r="M23" s="4"/>
      <c r="N23" s="9"/>
      <c r="O23" s="4"/>
      <c r="P23" s="9"/>
      <c r="Q23" s="4"/>
      <c r="R23" s="9"/>
    </row>
    <row r="24" spans="1:18" ht="54.65" customHeight="1" x14ac:dyDescent="0.35">
      <c r="A24" s="4"/>
      <c r="B24" s="5"/>
      <c r="C24" s="5"/>
      <c r="D24" s="11"/>
      <c r="E24" s="10"/>
      <c r="F24" s="4"/>
      <c r="G24" s="11"/>
      <c r="H24" s="5"/>
      <c r="I24" s="5"/>
      <c r="J24" s="5"/>
      <c r="K24" s="5"/>
      <c r="L24" s="5"/>
      <c r="M24" s="4"/>
      <c r="N24" s="9"/>
      <c r="O24" s="4"/>
      <c r="P24" s="9"/>
      <c r="Q24" s="4"/>
      <c r="R24" s="9"/>
    </row>
    <row r="25" spans="1:18" ht="51" customHeight="1" x14ac:dyDescent="0.35">
      <c r="A25" s="4"/>
      <c r="B25" s="5"/>
      <c r="C25" s="5"/>
      <c r="D25" s="11"/>
      <c r="E25" s="10"/>
      <c r="F25" s="4"/>
      <c r="G25" s="11"/>
      <c r="H25" s="5"/>
      <c r="I25" s="5"/>
      <c r="J25" s="5"/>
      <c r="K25" s="5"/>
      <c r="L25" s="5"/>
      <c r="M25" s="4"/>
      <c r="N25" s="9"/>
      <c r="O25" s="4"/>
      <c r="P25" s="9"/>
      <c r="Q25" s="4"/>
      <c r="R25" s="9"/>
    </row>
    <row r="26" spans="1:18" ht="47.15" customHeight="1" x14ac:dyDescent="0.35">
      <c r="A26" s="4"/>
      <c r="B26" s="5"/>
      <c r="C26" s="5"/>
      <c r="D26" s="11"/>
      <c r="E26" s="10"/>
      <c r="F26" s="4"/>
      <c r="G26" s="11"/>
      <c r="H26" s="5"/>
      <c r="I26" s="5"/>
      <c r="J26" s="5"/>
      <c r="K26" s="5"/>
      <c r="L26" s="5"/>
      <c r="M26" s="4"/>
      <c r="N26" s="9"/>
      <c r="O26" s="4"/>
      <c r="P26" s="9"/>
      <c r="Q26" s="4"/>
      <c r="R26" s="9"/>
    </row>
    <row r="27" spans="1:18" ht="48.65" customHeight="1" x14ac:dyDescent="0.35">
      <c r="A27" s="4"/>
      <c r="B27" s="5"/>
      <c r="C27" s="5"/>
      <c r="D27" s="11"/>
      <c r="E27" s="10"/>
      <c r="F27" s="4"/>
      <c r="G27" s="11"/>
      <c r="H27" s="5"/>
      <c r="I27" s="5"/>
      <c r="J27" s="5"/>
      <c r="K27" s="5"/>
      <c r="L27" s="5"/>
      <c r="M27" s="4"/>
      <c r="N27" s="9"/>
      <c r="O27" s="4"/>
      <c r="P27" s="9"/>
      <c r="Q27" s="4"/>
      <c r="R27" s="9"/>
    </row>
    <row r="28" spans="1:18" ht="82" customHeight="1" x14ac:dyDescent="0.35">
      <c r="A28" s="4"/>
      <c r="B28" s="5"/>
      <c r="C28" s="5"/>
      <c r="D28" s="11"/>
      <c r="E28" s="10"/>
      <c r="F28" s="4"/>
      <c r="G28" s="11"/>
      <c r="H28" s="5"/>
      <c r="I28" s="5"/>
      <c r="J28" s="5"/>
      <c r="K28" s="5"/>
      <c r="L28" s="5"/>
      <c r="M28" s="4"/>
      <c r="N28" s="9"/>
      <c r="O28" s="4"/>
      <c r="P28" s="9"/>
      <c r="Q28" s="4"/>
      <c r="R28" s="9"/>
    </row>
    <row r="29" spans="1:18" ht="83.5" customHeight="1" x14ac:dyDescent="0.35">
      <c r="A29" s="4"/>
      <c r="B29" s="5"/>
      <c r="C29" s="5"/>
      <c r="D29" s="11"/>
      <c r="E29" s="10"/>
      <c r="F29" s="4"/>
      <c r="G29" s="11"/>
      <c r="H29" s="5"/>
      <c r="I29" s="5"/>
      <c r="J29" s="5"/>
      <c r="K29" s="5"/>
      <c r="L29" s="5"/>
      <c r="M29" s="4"/>
      <c r="N29" s="9"/>
      <c r="O29" s="4"/>
      <c r="P29" s="9"/>
      <c r="Q29" s="4"/>
      <c r="R29" s="9"/>
    </row>
    <row r="30" spans="1:18" ht="60" customHeight="1" x14ac:dyDescent="0.35">
      <c r="A30" s="4"/>
      <c r="B30" s="5"/>
      <c r="C30" s="5"/>
      <c r="D30" s="11"/>
      <c r="E30" s="10"/>
      <c r="F30" s="4"/>
      <c r="G30" s="11"/>
      <c r="H30" s="5"/>
      <c r="I30" s="5"/>
      <c r="J30" s="5"/>
      <c r="K30" s="5"/>
      <c r="L30" s="5"/>
      <c r="M30" s="4"/>
      <c r="N30" s="9"/>
      <c r="O30" s="4"/>
      <c r="P30" s="9"/>
      <c r="Q30" s="4"/>
      <c r="R30" s="9"/>
    </row>
    <row r="31" spans="1:18" ht="61" customHeight="1" x14ac:dyDescent="0.35">
      <c r="A31" s="4"/>
      <c r="B31" s="5"/>
      <c r="C31" s="5"/>
      <c r="D31" s="11"/>
      <c r="E31" s="10"/>
      <c r="F31" s="4"/>
      <c r="G31" s="11"/>
      <c r="H31" s="5"/>
      <c r="I31" s="5"/>
      <c r="J31" s="5"/>
      <c r="K31" s="5"/>
      <c r="L31" s="5"/>
      <c r="M31" s="4"/>
      <c r="N31" s="9"/>
      <c r="O31" s="4"/>
      <c r="P31" s="9"/>
      <c r="Q31" s="4"/>
      <c r="R31" s="9"/>
    </row>
    <row r="32" spans="1:18" ht="111" customHeight="1" x14ac:dyDescent="0.35">
      <c r="A32" s="4"/>
      <c r="B32" s="5"/>
      <c r="C32" s="5"/>
      <c r="D32" s="11"/>
      <c r="E32" s="10"/>
      <c r="F32" s="4"/>
      <c r="G32" s="11"/>
      <c r="H32" s="5"/>
      <c r="I32" s="5"/>
      <c r="J32" s="5"/>
      <c r="K32" s="5"/>
      <c r="L32" s="5"/>
      <c r="M32" s="4"/>
      <c r="N32" s="9"/>
      <c r="O32" s="4"/>
      <c r="P32" s="9"/>
      <c r="Q32" s="4"/>
      <c r="R32" s="9"/>
    </row>
    <row r="33" spans="1:18" ht="110.5" customHeight="1" x14ac:dyDescent="0.35">
      <c r="A33" s="4"/>
      <c r="B33" s="5"/>
      <c r="C33" s="5"/>
      <c r="D33" s="11"/>
      <c r="E33" s="10"/>
      <c r="F33" s="4"/>
      <c r="G33" s="11"/>
      <c r="H33" s="5"/>
      <c r="I33" s="5"/>
      <c r="J33" s="5"/>
      <c r="K33" s="5"/>
      <c r="L33" s="5"/>
      <c r="M33" s="4"/>
      <c r="N33" s="9"/>
      <c r="O33" s="4"/>
      <c r="P33" s="9"/>
      <c r="Q33" s="4"/>
      <c r="R33" s="9"/>
    </row>
    <row r="34" spans="1:18" ht="62.5" customHeight="1" x14ac:dyDescent="0.35">
      <c r="A34" s="4"/>
      <c r="B34" s="5"/>
      <c r="C34" s="5"/>
      <c r="D34" s="11"/>
      <c r="E34" s="10"/>
      <c r="F34" s="4"/>
      <c r="G34" s="11"/>
      <c r="H34" s="5"/>
      <c r="I34" s="5"/>
      <c r="J34" s="5"/>
      <c r="K34" s="5"/>
      <c r="L34" s="5"/>
      <c r="M34" s="4"/>
      <c r="N34" s="9"/>
      <c r="O34" s="4"/>
      <c r="P34" s="9"/>
      <c r="Q34" s="4"/>
      <c r="R34" s="9"/>
    </row>
    <row r="35" spans="1:18" ht="97.5" customHeight="1" x14ac:dyDescent="0.35">
      <c r="A35" s="4"/>
      <c r="B35" s="5"/>
      <c r="C35" s="5"/>
      <c r="D35" s="11"/>
      <c r="E35" s="10"/>
      <c r="F35" s="4"/>
      <c r="G35" s="11"/>
      <c r="H35" s="5"/>
      <c r="I35" s="5"/>
      <c r="J35" s="5"/>
      <c r="K35" s="5"/>
      <c r="L35" s="5"/>
      <c r="M35" s="4"/>
      <c r="N35" s="9"/>
      <c r="O35" s="4"/>
      <c r="P35" s="9"/>
      <c r="Q35" s="4"/>
      <c r="R35" s="9"/>
    </row>
    <row r="36" spans="1:18" ht="79" customHeight="1" x14ac:dyDescent="0.35">
      <c r="A36" s="4"/>
      <c r="B36" s="5"/>
      <c r="C36" s="5"/>
      <c r="D36" s="11"/>
      <c r="E36" s="10"/>
      <c r="F36" s="4"/>
      <c r="G36" s="11"/>
      <c r="H36" s="5"/>
      <c r="I36" s="5"/>
      <c r="J36" s="5"/>
      <c r="K36" s="5"/>
      <c r="L36" s="5"/>
      <c r="M36" s="4"/>
      <c r="N36" s="9"/>
      <c r="O36" s="4"/>
      <c r="P36" s="9"/>
      <c r="Q36" s="4"/>
      <c r="R36" s="9"/>
    </row>
    <row r="37" spans="1:18" ht="92.5" customHeight="1" x14ac:dyDescent="0.35">
      <c r="A37" s="4"/>
      <c r="B37" s="5"/>
      <c r="C37" s="5"/>
      <c r="D37" s="11"/>
      <c r="E37" s="10"/>
      <c r="F37" s="4"/>
      <c r="G37" s="11"/>
      <c r="H37" s="5"/>
      <c r="I37" s="5"/>
      <c r="J37" s="5"/>
      <c r="K37" s="5"/>
      <c r="L37" s="5"/>
      <c r="M37" s="4"/>
      <c r="N37" s="9"/>
      <c r="O37" s="4"/>
      <c r="P37" s="9"/>
      <c r="Q37" s="4"/>
      <c r="R37" s="9"/>
    </row>
    <row r="38" spans="1:18" ht="83.5" customHeight="1" x14ac:dyDescent="0.35">
      <c r="A38" s="4"/>
      <c r="B38" s="5"/>
      <c r="C38" s="5"/>
      <c r="D38" s="11"/>
      <c r="E38" s="10"/>
      <c r="F38" s="4"/>
      <c r="G38" s="11"/>
      <c r="H38" s="5"/>
      <c r="I38" s="5"/>
      <c r="J38" s="5"/>
      <c r="K38" s="5"/>
      <c r="L38" s="5"/>
      <c r="M38" s="4"/>
      <c r="N38" s="9"/>
      <c r="O38" s="4"/>
      <c r="P38" s="9"/>
      <c r="Q38" s="4"/>
      <c r="R38" s="9"/>
    </row>
    <row r="39" spans="1:18" ht="82.5" customHeight="1" x14ac:dyDescent="0.35">
      <c r="A39" s="4"/>
      <c r="B39" s="5"/>
      <c r="C39" s="5"/>
      <c r="D39" s="11"/>
      <c r="E39" s="10"/>
      <c r="F39" s="4"/>
      <c r="G39" s="11"/>
      <c r="H39" s="5"/>
      <c r="I39" s="5"/>
      <c r="J39" s="5"/>
      <c r="K39" s="5"/>
      <c r="L39" s="5"/>
      <c r="M39" s="4"/>
      <c r="N39" s="9"/>
      <c r="O39" s="4"/>
      <c r="P39" s="9"/>
      <c r="Q39" s="4"/>
      <c r="R39" s="9"/>
    </row>
    <row r="40" spans="1:18" ht="67" customHeight="1" x14ac:dyDescent="0.35">
      <c r="A40" s="4"/>
      <c r="B40" s="5"/>
      <c r="C40" s="5"/>
      <c r="D40" s="11"/>
      <c r="E40" s="10"/>
      <c r="F40" s="4"/>
      <c r="G40" s="11"/>
      <c r="H40" s="5"/>
      <c r="I40" s="5"/>
      <c r="J40" s="5"/>
      <c r="K40" s="5"/>
      <c r="L40" s="5"/>
      <c r="M40" s="4"/>
      <c r="N40" s="9"/>
      <c r="O40" s="4"/>
      <c r="P40" s="9"/>
      <c r="Q40" s="4"/>
      <c r="R40" s="9"/>
    </row>
    <row r="41" spans="1:18" ht="87" customHeight="1" x14ac:dyDescent="0.35">
      <c r="A41" s="4"/>
      <c r="B41" s="5"/>
      <c r="C41" s="5"/>
      <c r="D41" s="11"/>
      <c r="E41" s="10"/>
      <c r="F41" s="4"/>
      <c r="G41" s="11"/>
      <c r="H41" s="5"/>
      <c r="I41" s="5"/>
      <c r="J41" s="5"/>
      <c r="K41" s="5"/>
      <c r="L41" s="5"/>
      <c r="M41" s="4"/>
      <c r="N41" s="9"/>
      <c r="O41" s="4"/>
      <c r="P41" s="9"/>
      <c r="Q41" s="4"/>
      <c r="R41" s="9"/>
    </row>
    <row r="42" spans="1:18" ht="63.65" customHeight="1" x14ac:dyDescent="0.35">
      <c r="A42" s="4"/>
      <c r="B42" s="5"/>
      <c r="C42" s="5"/>
      <c r="D42" s="11"/>
      <c r="E42" s="10"/>
      <c r="F42" s="4"/>
      <c r="G42" s="11"/>
      <c r="H42" s="5"/>
      <c r="I42" s="5"/>
      <c r="J42" s="5"/>
      <c r="K42" s="5"/>
      <c r="L42" s="5"/>
      <c r="M42" s="4"/>
      <c r="N42" s="9"/>
      <c r="O42" s="4"/>
      <c r="P42" s="9"/>
      <c r="Q42" s="4"/>
      <c r="R42" s="9"/>
    </row>
    <row r="43" spans="1:18" ht="68.5" customHeight="1" x14ac:dyDescent="0.35">
      <c r="A43" s="4"/>
      <c r="B43" s="5"/>
      <c r="C43" s="5"/>
      <c r="D43" s="11"/>
      <c r="E43" s="10"/>
      <c r="F43" s="4"/>
      <c r="G43" s="11"/>
      <c r="H43" s="5"/>
      <c r="I43" s="5"/>
      <c r="J43" s="5"/>
      <c r="K43" s="5"/>
      <c r="L43" s="5"/>
      <c r="M43" s="4"/>
      <c r="N43" s="9"/>
      <c r="O43" s="4"/>
      <c r="P43" s="9"/>
      <c r="Q43" s="4"/>
      <c r="R43" s="9"/>
    </row>
    <row r="44" spans="1:18" ht="72" customHeight="1" x14ac:dyDescent="0.35">
      <c r="A44" s="4"/>
      <c r="B44" s="5"/>
      <c r="C44" s="5"/>
      <c r="D44" s="11"/>
      <c r="E44" s="10"/>
      <c r="F44" s="4"/>
      <c r="G44" s="11"/>
      <c r="H44" s="5"/>
      <c r="I44" s="5"/>
      <c r="J44" s="5"/>
      <c r="K44" s="5"/>
      <c r="L44" s="5"/>
      <c r="M44" s="4"/>
      <c r="N44" s="9"/>
      <c r="O44" s="4"/>
      <c r="P44" s="9"/>
      <c r="Q44" s="4"/>
      <c r="R44" s="9"/>
    </row>
    <row r="45" spans="1:18" ht="85" customHeight="1" x14ac:dyDescent="0.35">
      <c r="A45" s="4"/>
      <c r="B45" s="5"/>
      <c r="C45" s="5"/>
      <c r="D45" s="11"/>
      <c r="E45" s="10"/>
      <c r="F45" s="4"/>
      <c r="G45" s="11"/>
      <c r="H45" s="5"/>
      <c r="I45" s="5"/>
      <c r="J45" s="5"/>
      <c r="K45" s="5"/>
      <c r="L45" s="5"/>
      <c r="M45" s="4"/>
      <c r="N45" s="9"/>
      <c r="O45" s="4"/>
      <c r="P45" s="9"/>
      <c r="Q45" s="4"/>
      <c r="R45" s="9"/>
    </row>
    <row r="46" spans="1:18" ht="78.650000000000006" customHeight="1" x14ac:dyDescent="0.35">
      <c r="A46" s="4"/>
      <c r="B46" s="5"/>
      <c r="C46" s="5"/>
      <c r="D46" s="11"/>
      <c r="E46" s="10"/>
      <c r="F46" s="4"/>
      <c r="G46" s="11"/>
      <c r="H46" s="5"/>
      <c r="I46" s="5"/>
      <c r="J46" s="5"/>
      <c r="K46" s="5"/>
      <c r="L46" s="5"/>
      <c r="M46" s="4"/>
      <c r="N46" s="9"/>
      <c r="O46" s="4"/>
      <c r="P46" s="9"/>
      <c r="Q46" s="4"/>
      <c r="R46" s="9"/>
    </row>
    <row r="47" spans="1:18" ht="101.5" customHeight="1" x14ac:dyDescent="0.35">
      <c r="A47" s="4"/>
      <c r="B47" s="5"/>
      <c r="C47" s="5"/>
      <c r="D47" s="11"/>
      <c r="E47" s="10"/>
      <c r="F47" s="4"/>
      <c r="G47" s="11"/>
      <c r="H47" s="5"/>
      <c r="I47" s="5"/>
      <c r="J47" s="5"/>
      <c r="K47" s="5"/>
      <c r="L47" s="5"/>
      <c r="M47" s="4"/>
      <c r="N47" s="9"/>
      <c r="O47" s="4"/>
      <c r="P47" s="9"/>
      <c r="Q47" s="4"/>
      <c r="R47" s="9"/>
    </row>
    <row r="48" spans="1:18" ht="58" customHeight="1" x14ac:dyDescent="0.35">
      <c r="A48" s="4"/>
      <c r="B48" s="5"/>
      <c r="C48" s="5"/>
      <c r="D48" s="11"/>
      <c r="E48" s="10"/>
      <c r="F48" s="4"/>
      <c r="G48" s="11"/>
      <c r="H48" s="5"/>
      <c r="I48" s="5"/>
      <c r="J48" s="5"/>
      <c r="K48" s="5"/>
      <c r="L48" s="5"/>
      <c r="M48" s="4"/>
      <c r="N48" s="9"/>
      <c r="O48" s="4"/>
      <c r="P48" s="9"/>
      <c r="Q48" s="4"/>
      <c r="R48" s="9"/>
    </row>
    <row r="49" spans="1:18" ht="60.65" customHeight="1" x14ac:dyDescent="0.35">
      <c r="A49" s="4"/>
      <c r="B49" s="5"/>
      <c r="C49" s="5"/>
      <c r="D49" s="11"/>
      <c r="E49" s="10"/>
      <c r="F49" s="4"/>
      <c r="G49" s="11"/>
      <c r="H49" s="5"/>
      <c r="I49" s="5"/>
      <c r="J49" s="5"/>
      <c r="K49" s="5"/>
      <c r="L49" s="5"/>
      <c r="M49" s="4"/>
      <c r="N49" s="9"/>
      <c r="O49" s="4"/>
      <c r="P49" s="9"/>
      <c r="Q49" s="4"/>
      <c r="R49" s="9"/>
    </row>
    <row r="50" spans="1:18" ht="113.15" customHeight="1" x14ac:dyDescent="0.35">
      <c r="A50" s="4"/>
      <c r="B50" s="5"/>
      <c r="C50" s="5"/>
      <c r="D50" s="11"/>
      <c r="E50" s="10"/>
      <c r="F50" s="4"/>
      <c r="G50" s="11"/>
      <c r="H50" s="5"/>
      <c r="I50" s="5"/>
      <c r="J50" s="5"/>
      <c r="K50" s="5"/>
      <c r="L50" s="5"/>
      <c r="M50" s="4"/>
      <c r="N50" s="9"/>
      <c r="O50" s="4"/>
      <c r="P50" s="9"/>
      <c r="Q50" s="4"/>
      <c r="R50" s="9"/>
    </row>
    <row r="51" spans="1:18" ht="129.65" customHeight="1" x14ac:dyDescent="0.35">
      <c r="A51" s="4"/>
      <c r="B51" s="5"/>
      <c r="C51" s="5"/>
      <c r="D51" s="11"/>
      <c r="E51" s="10"/>
      <c r="F51" s="4"/>
      <c r="G51" s="11"/>
      <c r="H51" s="5"/>
      <c r="I51" s="5"/>
      <c r="J51" s="5"/>
      <c r="K51" s="5"/>
      <c r="L51" s="5"/>
      <c r="M51" s="4"/>
      <c r="N51" s="9"/>
      <c r="O51" s="4"/>
      <c r="P51" s="9"/>
      <c r="Q51" s="4"/>
      <c r="R51" s="9"/>
    </row>
    <row r="52" spans="1:18" ht="93" customHeight="1" x14ac:dyDescent="0.35">
      <c r="A52" s="4"/>
      <c r="B52" s="5"/>
      <c r="C52" s="5"/>
      <c r="D52" s="11"/>
      <c r="E52" s="10"/>
      <c r="F52" s="4"/>
      <c r="G52" s="11"/>
      <c r="H52" s="5"/>
      <c r="I52" s="5"/>
      <c r="J52" s="5"/>
      <c r="K52" s="5"/>
      <c r="L52" s="5"/>
      <c r="M52" s="4"/>
      <c r="N52" s="9"/>
      <c r="O52" s="4"/>
      <c r="P52" s="9"/>
      <c r="Q52" s="4"/>
      <c r="R52" s="9"/>
    </row>
    <row r="53" spans="1:18" ht="83.5" customHeight="1" x14ac:dyDescent="0.35">
      <c r="A53" s="4"/>
      <c r="B53" s="5"/>
      <c r="C53" s="5"/>
      <c r="D53" s="11"/>
      <c r="E53" s="10"/>
      <c r="F53" s="4"/>
      <c r="G53" s="11"/>
      <c r="H53" s="5"/>
      <c r="I53" s="5"/>
      <c r="J53" s="5"/>
      <c r="K53" s="5"/>
      <c r="L53" s="5"/>
      <c r="M53" s="4"/>
      <c r="N53" s="9"/>
      <c r="O53" s="4"/>
      <c r="P53" s="9"/>
      <c r="Q53" s="4"/>
      <c r="R53" s="9"/>
    </row>
    <row r="54" spans="1:18" ht="65.5" customHeight="1" x14ac:dyDescent="0.35">
      <c r="A54" s="4"/>
      <c r="B54" s="5"/>
      <c r="C54" s="5"/>
      <c r="D54" s="11"/>
      <c r="E54" s="10"/>
      <c r="F54" s="4"/>
      <c r="G54" s="11"/>
      <c r="H54" s="5"/>
      <c r="I54" s="5"/>
      <c r="J54" s="5"/>
      <c r="K54" s="5"/>
      <c r="L54" s="5"/>
      <c r="M54" s="4"/>
      <c r="N54" s="9"/>
      <c r="O54" s="4"/>
      <c r="P54" s="9"/>
      <c r="Q54" s="4"/>
      <c r="R54" s="9"/>
    </row>
    <row r="55" spans="1:18" ht="64" customHeight="1" x14ac:dyDescent="0.35">
      <c r="A55" s="4"/>
      <c r="B55" s="5"/>
      <c r="C55" s="5"/>
      <c r="D55" s="11"/>
      <c r="E55" s="10"/>
      <c r="F55" s="4"/>
      <c r="G55" s="11"/>
      <c r="H55" s="5"/>
      <c r="I55" s="5"/>
      <c r="J55" s="5"/>
      <c r="K55" s="5"/>
      <c r="L55" s="5"/>
      <c r="M55" s="4"/>
      <c r="N55" s="9"/>
      <c r="O55" s="4"/>
      <c r="P55" s="9"/>
      <c r="Q55" s="4"/>
      <c r="R55" s="9"/>
    </row>
    <row r="56" spans="1:18" ht="65.150000000000006" customHeight="1" x14ac:dyDescent="0.35">
      <c r="A56" s="4"/>
      <c r="B56" s="5"/>
      <c r="C56" s="5"/>
      <c r="D56" s="11"/>
      <c r="E56" s="10"/>
      <c r="F56" s="4"/>
      <c r="G56" s="11"/>
      <c r="H56" s="5"/>
      <c r="I56" s="5"/>
      <c r="J56" s="5"/>
      <c r="K56" s="5"/>
      <c r="L56" s="5"/>
      <c r="M56" s="4"/>
      <c r="N56" s="9"/>
      <c r="O56" s="4"/>
      <c r="P56" s="9"/>
      <c r="Q56" s="4"/>
      <c r="R56" s="9"/>
    </row>
    <row r="57" spans="1:18" ht="92.5" customHeight="1" x14ac:dyDescent="0.35">
      <c r="A57" s="4"/>
      <c r="B57" s="5"/>
      <c r="C57" s="5"/>
      <c r="D57" s="11"/>
      <c r="E57" s="10"/>
      <c r="F57" s="4"/>
      <c r="G57" s="11"/>
      <c r="H57" s="5"/>
      <c r="I57" s="5"/>
      <c r="J57" s="5"/>
      <c r="K57" s="5"/>
      <c r="L57" s="5"/>
      <c r="M57" s="4"/>
      <c r="N57" s="9"/>
      <c r="O57" s="4"/>
      <c r="P57" s="9"/>
      <c r="Q57" s="4"/>
      <c r="R57" s="9"/>
    </row>
    <row r="58" spans="1:18" ht="25" customHeight="1" x14ac:dyDescent="0.35">
      <c r="A58" s="4"/>
      <c r="B58" s="5"/>
      <c r="C58" s="5"/>
      <c r="D58" s="11"/>
      <c r="E58" s="10"/>
      <c r="F58" s="4"/>
      <c r="G58" s="11"/>
      <c r="H58" s="5"/>
      <c r="I58" s="5"/>
      <c r="J58" s="5"/>
      <c r="K58" s="5"/>
      <c r="L58" s="5"/>
      <c r="M58" s="4"/>
      <c r="N58" s="9"/>
      <c r="O58" s="4"/>
      <c r="P58" s="9"/>
      <c r="Q58" s="4"/>
      <c r="R58" s="9"/>
    </row>
    <row r="59" spans="1:18" ht="25" customHeight="1" x14ac:dyDescent="0.35">
      <c r="A59" s="4"/>
      <c r="B59" s="5"/>
      <c r="C59" s="5"/>
      <c r="D59" s="11"/>
      <c r="E59" s="10"/>
      <c r="F59" s="4"/>
      <c r="G59" s="11"/>
      <c r="H59" s="5"/>
      <c r="I59" s="5"/>
      <c r="J59" s="5"/>
      <c r="K59" s="5"/>
      <c r="L59" s="5"/>
      <c r="M59" s="4"/>
      <c r="N59" s="9"/>
      <c r="O59" s="4"/>
      <c r="P59" s="9"/>
      <c r="Q59" s="4"/>
      <c r="R59" s="9"/>
    </row>
    <row r="60" spans="1:18" ht="88.5" customHeight="1" x14ac:dyDescent="0.35">
      <c r="A60" s="4"/>
      <c r="B60" s="5"/>
      <c r="C60" s="5"/>
      <c r="D60" s="11"/>
      <c r="E60" s="10"/>
      <c r="F60" s="4"/>
      <c r="G60" s="11"/>
      <c r="H60" s="5"/>
      <c r="I60" s="5"/>
      <c r="J60" s="5"/>
      <c r="K60" s="5"/>
      <c r="L60" s="5"/>
      <c r="M60" s="4"/>
      <c r="N60" s="9"/>
      <c r="O60" s="4"/>
      <c r="P60" s="9"/>
      <c r="Q60" s="4"/>
      <c r="R60" s="9"/>
    </row>
    <row r="61" spans="1:18" ht="100.5" customHeight="1" x14ac:dyDescent="0.35">
      <c r="A61" s="4"/>
      <c r="B61" s="5"/>
      <c r="C61" s="5"/>
      <c r="D61" s="11"/>
      <c r="E61" s="10"/>
      <c r="F61" s="4"/>
      <c r="G61" s="11"/>
      <c r="H61" s="5"/>
      <c r="I61" s="5"/>
      <c r="J61" s="5"/>
      <c r="K61" s="5"/>
      <c r="L61" s="5"/>
      <c r="M61" s="4"/>
      <c r="N61" s="9"/>
      <c r="O61" s="4"/>
      <c r="P61" s="9"/>
      <c r="Q61" s="4"/>
      <c r="R61" s="9"/>
    </row>
    <row r="62" spans="1:18" ht="95.15" customHeight="1" x14ac:dyDescent="0.35">
      <c r="A62" s="4"/>
      <c r="B62" s="5"/>
      <c r="C62" s="5"/>
      <c r="D62" s="11"/>
      <c r="E62" s="10"/>
      <c r="F62" s="4"/>
      <c r="G62" s="11"/>
      <c r="H62" s="5"/>
      <c r="I62" s="5"/>
      <c r="J62" s="5"/>
      <c r="K62" s="5"/>
      <c r="L62" s="5"/>
      <c r="M62" s="4"/>
      <c r="N62" s="9"/>
      <c r="O62" s="4"/>
      <c r="P62" s="9"/>
      <c r="Q62" s="4"/>
      <c r="R62" s="9"/>
    </row>
    <row r="63" spans="1:18" ht="94.5" customHeight="1" x14ac:dyDescent="0.35">
      <c r="A63" s="4"/>
      <c r="B63" s="5"/>
      <c r="C63" s="5"/>
      <c r="D63" s="11"/>
      <c r="E63" s="10"/>
      <c r="F63" s="4"/>
      <c r="G63" s="11"/>
      <c r="H63" s="5"/>
      <c r="I63" s="5"/>
      <c r="J63" s="5"/>
      <c r="K63" s="5"/>
      <c r="L63" s="5"/>
      <c r="M63" s="4"/>
      <c r="N63" s="9"/>
      <c r="O63" s="4"/>
      <c r="P63" s="9"/>
      <c r="Q63" s="4"/>
      <c r="R63" s="9"/>
    </row>
    <row r="64" spans="1:18" ht="101.15" customHeight="1" x14ac:dyDescent="0.35">
      <c r="A64" s="4"/>
      <c r="B64" s="5"/>
      <c r="C64" s="5"/>
      <c r="D64" s="11"/>
      <c r="E64" s="10"/>
      <c r="F64" s="4"/>
      <c r="G64" s="11"/>
      <c r="H64" s="5"/>
      <c r="I64" s="5"/>
      <c r="J64" s="5"/>
      <c r="K64" s="5"/>
      <c r="L64" s="5"/>
      <c r="M64" s="4"/>
      <c r="N64" s="9"/>
      <c r="O64" s="4"/>
      <c r="P64" s="9"/>
      <c r="Q64" s="4"/>
      <c r="R64" s="9"/>
    </row>
    <row r="65" spans="1:18" ht="91" customHeight="1" x14ac:dyDescent="0.35">
      <c r="A65" s="4"/>
      <c r="B65" s="5"/>
      <c r="C65" s="5"/>
      <c r="D65" s="11"/>
      <c r="E65" s="10"/>
      <c r="F65" s="4"/>
      <c r="G65" s="11"/>
      <c r="H65" s="5"/>
      <c r="I65" s="5"/>
      <c r="J65" s="5"/>
      <c r="K65" s="5"/>
      <c r="L65" s="5"/>
      <c r="M65" s="4"/>
      <c r="N65" s="9"/>
      <c r="O65" s="4"/>
      <c r="P65" s="9"/>
      <c r="Q65" s="4"/>
      <c r="R65" s="9"/>
    </row>
    <row r="66" spans="1:18" ht="126.65" customHeight="1" x14ac:dyDescent="0.35">
      <c r="A66" s="4"/>
      <c r="B66" s="5"/>
      <c r="C66" s="5"/>
      <c r="D66" s="11"/>
      <c r="E66" s="10"/>
      <c r="F66" s="4"/>
      <c r="G66" s="11"/>
      <c r="H66" s="5"/>
      <c r="I66" s="5"/>
      <c r="J66" s="5"/>
      <c r="K66" s="5"/>
      <c r="L66" s="5"/>
      <c r="M66" s="4"/>
      <c r="N66" s="9"/>
      <c r="O66" s="4"/>
      <c r="P66" s="9"/>
      <c r="Q66" s="4"/>
      <c r="R66" s="9"/>
    </row>
    <row r="67" spans="1:18" ht="122.5" customHeight="1" x14ac:dyDescent="0.35">
      <c r="A67" s="4"/>
      <c r="B67" s="5"/>
      <c r="C67" s="5"/>
      <c r="D67" s="11"/>
      <c r="E67" s="10"/>
      <c r="F67" s="4"/>
      <c r="G67" s="11"/>
      <c r="H67" s="5"/>
      <c r="I67" s="5"/>
      <c r="J67" s="5"/>
      <c r="K67" s="5"/>
      <c r="L67" s="5"/>
      <c r="M67" s="4"/>
      <c r="N67" s="9"/>
      <c r="O67" s="4"/>
      <c r="P67" s="9"/>
      <c r="Q67" s="4"/>
      <c r="R67" s="9"/>
    </row>
    <row r="68" spans="1:18" ht="82.5" customHeight="1" x14ac:dyDescent="0.35">
      <c r="A68" s="4"/>
      <c r="B68" s="5"/>
      <c r="C68" s="5"/>
      <c r="D68" s="11"/>
      <c r="E68" s="10"/>
      <c r="F68" s="4"/>
      <c r="G68" s="11"/>
      <c r="H68" s="5"/>
      <c r="I68" s="5"/>
      <c r="J68" s="5"/>
      <c r="K68" s="5"/>
      <c r="L68" s="5"/>
      <c r="M68" s="4"/>
      <c r="N68" s="9"/>
      <c r="O68" s="4"/>
      <c r="P68" s="9"/>
      <c r="Q68" s="4"/>
      <c r="R68" s="9"/>
    </row>
    <row r="69" spans="1:18" ht="77.5" customHeight="1" x14ac:dyDescent="0.35">
      <c r="A69" s="4"/>
      <c r="B69" s="5"/>
      <c r="C69" s="5"/>
      <c r="D69" s="11"/>
      <c r="E69" s="10"/>
      <c r="F69" s="4"/>
      <c r="G69" s="11"/>
      <c r="H69" s="5"/>
      <c r="I69" s="5"/>
      <c r="J69" s="5"/>
      <c r="K69" s="5"/>
      <c r="L69" s="5"/>
      <c r="M69" s="4"/>
      <c r="N69" s="9"/>
      <c r="O69" s="4"/>
      <c r="P69" s="9"/>
      <c r="Q69" s="4"/>
      <c r="R69" s="9"/>
    </row>
    <row r="70" spans="1:18" ht="56.5" customHeight="1" x14ac:dyDescent="0.35">
      <c r="A70" s="4"/>
      <c r="B70" s="5"/>
      <c r="C70" s="5"/>
      <c r="D70" s="11"/>
      <c r="E70" s="10"/>
      <c r="F70" s="4"/>
      <c r="G70" s="11"/>
      <c r="H70" s="5"/>
      <c r="I70" s="5"/>
      <c r="J70" s="5"/>
      <c r="K70" s="5"/>
      <c r="L70" s="5"/>
      <c r="M70" s="4"/>
      <c r="N70" s="9"/>
      <c r="O70" s="4"/>
      <c r="P70" s="9"/>
      <c r="Q70" s="4"/>
      <c r="R70" s="9"/>
    </row>
    <row r="71" spans="1:18" ht="47.5" customHeight="1" x14ac:dyDescent="0.35">
      <c r="A71" s="4"/>
      <c r="B71" s="5"/>
      <c r="C71" s="5"/>
      <c r="D71" s="11"/>
      <c r="E71" s="10"/>
      <c r="F71" s="4"/>
      <c r="G71" s="11"/>
      <c r="H71" s="5"/>
      <c r="I71" s="5"/>
      <c r="J71" s="5"/>
      <c r="K71" s="5"/>
      <c r="L71" s="5"/>
      <c r="M71" s="4"/>
      <c r="N71" s="9"/>
      <c r="O71" s="4"/>
      <c r="P71" s="9"/>
      <c r="Q71" s="4"/>
      <c r="R71" s="9"/>
    </row>
    <row r="72" spans="1:18" ht="49.5" customHeight="1" x14ac:dyDescent="0.35">
      <c r="A72" s="4"/>
      <c r="B72" s="5"/>
      <c r="C72" s="5"/>
      <c r="D72" s="11"/>
      <c r="E72" s="10"/>
      <c r="F72" s="4"/>
      <c r="G72" s="11"/>
      <c r="H72" s="5"/>
      <c r="I72" s="5"/>
      <c r="J72" s="5"/>
      <c r="K72" s="5"/>
      <c r="L72" s="5"/>
      <c r="M72" s="4"/>
      <c r="N72" s="9"/>
      <c r="O72" s="4"/>
      <c r="P72" s="9"/>
      <c r="Q72" s="4"/>
      <c r="R72" s="9"/>
    </row>
    <row r="73" spans="1:18" ht="45" customHeight="1" x14ac:dyDescent="0.35">
      <c r="A73" s="4"/>
      <c r="B73" s="5"/>
      <c r="C73" s="5"/>
      <c r="D73" s="11"/>
      <c r="E73" s="10"/>
      <c r="F73" s="4"/>
      <c r="G73" s="11"/>
      <c r="H73" s="5"/>
      <c r="I73" s="5"/>
      <c r="J73" s="5"/>
      <c r="K73" s="5"/>
      <c r="L73" s="5"/>
      <c r="M73" s="4"/>
      <c r="N73" s="9"/>
      <c r="O73" s="4"/>
      <c r="P73" s="9"/>
      <c r="Q73" s="4"/>
      <c r="R73" s="9"/>
    </row>
    <row r="74" spans="1:18" ht="134.15" customHeight="1" x14ac:dyDescent="0.35">
      <c r="A74" s="4"/>
      <c r="B74" s="5"/>
      <c r="C74" s="5"/>
      <c r="D74" s="11"/>
      <c r="E74" s="10"/>
      <c r="F74" s="4"/>
      <c r="G74" s="11"/>
      <c r="H74" s="5"/>
      <c r="I74" s="5"/>
      <c r="J74" s="5"/>
      <c r="K74" s="5"/>
      <c r="L74" s="5"/>
      <c r="M74" s="4"/>
      <c r="N74" s="9"/>
      <c r="O74" s="4"/>
      <c r="P74" s="9"/>
      <c r="Q74" s="4"/>
      <c r="R74" s="9"/>
    </row>
    <row r="75" spans="1:18" ht="25" customHeight="1" x14ac:dyDescent="0.35">
      <c r="A75" s="4"/>
      <c r="B75" s="5"/>
      <c r="C75" s="5"/>
      <c r="D75" s="11"/>
      <c r="E75" s="10"/>
      <c r="F75" s="4"/>
      <c r="G75" s="11"/>
      <c r="H75" s="5"/>
      <c r="I75" s="5"/>
      <c r="J75" s="5"/>
      <c r="K75" s="5"/>
      <c r="L75" s="5"/>
      <c r="M75" s="4"/>
      <c r="N75" s="9"/>
      <c r="O75" s="4"/>
      <c r="P75" s="9"/>
      <c r="Q75" s="4"/>
      <c r="R75" s="9"/>
    </row>
    <row r="76" spans="1:18" ht="25" customHeight="1" x14ac:dyDescent="0.35">
      <c r="A76" s="4"/>
      <c r="B76" s="5"/>
      <c r="C76" s="5"/>
      <c r="D76" s="11"/>
      <c r="E76" s="10"/>
      <c r="F76" s="4"/>
      <c r="G76" s="11"/>
      <c r="H76" s="5"/>
      <c r="I76" s="5"/>
      <c r="J76" s="5"/>
      <c r="K76" s="5"/>
      <c r="L76" s="5"/>
      <c r="M76" s="4"/>
      <c r="N76" s="9"/>
      <c r="O76" s="4"/>
      <c r="P76" s="9"/>
      <c r="Q76" s="4"/>
      <c r="R76" s="9"/>
    </row>
    <row r="77" spans="1:18" ht="25" customHeight="1" x14ac:dyDescent="0.35">
      <c r="A77" s="4"/>
      <c r="B77" s="5"/>
      <c r="C77" s="5"/>
      <c r="D77" s="11"/>
      <c r="E77" s="10"/>
      <c r="F77" s="4"/>
      <c r="G77" s="11"/>
      <c r="H77" s="5"/>
      <c r="I77" s="5"/>
      <c r="J77" s="5"/>
      <c r="K77" s="5"/>
      <c r="L77" s="5"/>
      <c r="M77" s="4"/>
      <c r="N77" s="9"/>
      <c r="O77" s="4"/>
      <c r="P77" s="9"/>
      <c r="Q77" s="4"/>
      <c r="R77" s="9"/>
    </row>
    <row r="78" spans="1:18" ht="25" customHeight="1" x14ac:dyDescent="0.35">
      <c r="A78" s="4"/>
      <c r="B78" s="5"/>
      <c r="C78" s="5"/>
      <c r="D78" s="11"/>
      <c r="E78" s="10"/>
      <c r="F78" s="4"/>
      <c r="G78" s="11"/>
      <c r="H78" s="5"/>
      <c r="I78" s="5"/>
      <c r="J78" s="5"/>
      <c r="K78" s="5"/>
      <c r="L78" s="5"/>
      <c r="M78" s="4"/>
      <c r="N78" s="9"/>
      <c r="O78" s="4"/>
      <c r="P78" s="9"/>
      <c r="Q78" s="4"/>
      <c r="R78" s="9"/>
    </row>
    <row r="79" spans="1:18" ht="25" customHeight="1" x14ac:dyDescent="0.35">
      <c r="A79" s="4"/>
      <c r="B79" s="5"/>
      <c r="C79" s="5"/>
      <c r="D79" s="11"/>
      <c r="E79" s="10"/>
      <c r="F79" s="4"/>
      <c r="G79" s="11"/>
      <c r="H79" s="5"/>
      <c r="I79" s="5"/>
      <c r="J79" s="5"/>
      <c r="K79" s="5"/>
      <c r="L79" s="5"/>
      <c r="M79" s="4"/>
      <c r="N79" s="9"/>
      <c r="O79" s="4"/>
      <c r="P79" s="9"/>
      <c r="Q79" s="4"/>
      <c r="R79" s="9"/>
    </row>
    <row r="80" spans="1:18" ht="25" customHeight="1" x14ac:dyDescent="0.35">
      <c r="A80" s="4"/>
      <c r="B80" s="5"/>
      <c r="C80" s="5"/>
      <c r="D80" s="11"/>
      <c r="E80" s="10"/>
      <c r="F80" s="4"/>
      <c r="G80" s="11"/>
      <c r="H80" s="5"/>
      <c r="I80" s="5"/>
      <c r="J80" s="5"/>
      <c r="K80" s="5"/>
      <c r="L80" s="5"/>
      <c r="M80" s="4"/>
      <c r="N80" s="9"/>
      <c r="O80" s="4"/>
      <c r="P80" s="9"/>
      <c r="Q80" s="4"/>
      <c r="R80" s="9"/>
    </row>
    <row r="81" spans="1:18" ht="25" customHeight="1" x14ac:dyDescent="0.35">
      <c r="A81" s="4"/>
      <c r="B81" s="5"/>
      <c r="C81" s="5"/>
      <c r="D81" s="11"/>
      <c r="E81" s="10"/>
      <c r="F81" s="4"/>
      <c r="G81" s="11"/>
      <c r="H81" s="5"/>
      <c r="I81" s="5"/>
      <c r="J81" s="5"/>
      <c r="K81" s="5"/>
      <c r="L81" s="5"/>
      <c r="M81" s="4"/>
      <c r="N81" s="9"/>
      <c r="O81" s="4"/>
      <c r="P81" s="9"/>
      <c r="Q81" s="4"/>
      <c r="R81" s="9"/>
    </row>
    <row r="82" spans="1:18" ht="25" customHeight="1" x14ac:dyDescent="0.35">
      <c r="A82" s="4"/>
      <c r="B82" s="5"/>
      <c r="C82" s="5"/>
      <c r="D82" s="11"/>
      <c r="E82" s="10"/>
      <c r="F82" s="4"/>
      <c r="G82" s="11"/>
      <c r="H82" s="5"/>
      <c r="I82" s="5"/>
      <c r="J82" s="5"/>
      <c r="K82" s="5"/>
      <c r="L82" s="5"/>
      <c r="M82" s="4"/>
      <c r="N82" s="9"/>
      <c r="O82" s="4"/>
      <c r="P82" s="9"/>
      <c r="Q82" s="4"/>
      <c r="R82" s="9"/>
    </row>
    <row r="1048576" spans="8:8" x14ac:dyDescent="0.35">
      <c r="H1048576" s="6"/>
    </row>
  </sheetData>
  <conditionalFormatting sqref="F8:F82">
    <cfRule type="cellIs" dxfId="10" priority="5" operator="equal">
      <formula>"Not Run"</formula>
    </cfRule>
    <cfRule type="cellIs" dxfId="9" priority="6" operator="equal">
      <formula>"Fail"</formula>
    </cfRule>
    <cfRule type="cellIs" dxfId="8" priority="7" operator="equal">
      <formula>"Pass"</formula>
    </cfRule>
  </conditionalFormatting>
  <conditionalFormatting sqref="G72:G74">
    <cfRule type="expression" dxfId="7" priority="13">
      <formula>$F72="Pass"</formula>
    </cfRule>
  </conditionalFormatting>
  <conditionalFormatting sqref="G8:H43 I8:J57 K10:L71 G44:G51 G52:H57 G58:J71 G75:L82">
    <cfRule type="expression" dxfId="6" priority="32">
      <formula>$F8="Pass"</formula>
    </cfRule>
  </conditionalFormatting>
  <conditionalFormatting sqref="H44:H45 H72:L72">
    <cfRule type="expression" dxfId="5" priority="44">
      <formula>$F46="Pass"</formula>
    </cfRule>
  </conditionalFormatting>
  <conditionalFormatting sqref="H46:H51">
    <cfRule type="expression" dxfId="4" priority="21">
      <formula>$F46="Pass"</formula>
    </cfRule>
  </conditionalFormatting>
  <conditionalFormatting sqref="H73">
    <cfRule type="expression" dxfId="3" priority="11">
      <formula>$F75="Pass"</formula>
    </cfRule>
  </conditionalFormatting>
  <conditionalFormatting sqref="H74:L74">
    <cfRule type="expression" dxfId="2" priority="54">
      <formula>#REF!="Pass"</formula>
    </cfRule>
  </conditionalFormatting>
  <conditionalFormatting sqref="I73:L73">
    <cfRule type="expression" dxfId="1" priority="61">
      <formula>$F72="Pass"</formula>
    </cfRule>
  </conditionalFormatting>
  <conditionalFormatting sqref="K8:M9">
    <cfRule type="expression" dxfId="0" priority="1">
      <formula>$F8="Pass"</formula>
    </cfRule>
  </conditionalFormatting>
  <dataValidations count="5">
    <dataValidation type="list" allowBlank="1" showInputMessage="1" showErrorMessage="1" sqref="E8:E82" xr:uid="{1289B857-1749-428E-9DF7-474E98659F1C}">
      <formula1>"Positive, Negative"</formula1>
    </dataValidation>
    <dataValidation type="list" allowBlank="1" showInputMessage="1" showErrorMessage="1" sqref="F8:F82" xr:uid="{6E254787-4A59-432D-A096-3AB259BB1C99}">
      <formula1>"N/A,Pass, Fail,Not Run"</formula1>
    </dataValidation>
    <dataValidation type="list" allowBlank="1" showInputMessage="1" showErrorMessage="1" sqref="G8:G82" xr:uid="{CD08C62F-085B-4838-923F-21C2DB3E4039}">
      <formula1>",N/A, Low, Med, High"</formula1>
    </dataValidation>
    <dataValidation type="list" allowBlank="1" showInputMessage="1" showErrorMessage="1" sqref="G8:G82" xr:uid="{6F70A1E6-8602-4F2B-8BF4-9DF5640F8143}">
      <formula1>" ,N/A, Low, Med, High"</formula1>
    </dataValidation>
    <dataValidation type="list" allowBlank="1" showInputMessage="1" showErrorMessage="1" sqref="F8:F82" xr:uid="{7A957C9E-03E1-4F69-8832-A8EE00C073F6}">
      <formula1>"N/A,Pass,Fail,Not Run"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91838290294DBB0632A003CE340C" ma:contentTypeVersion="4" ma:contentTypeDescription="Create a new document." ma:contentTypeScope="" ma:versionID="dc2b7834f649c4b1686dc0b271938093">
  <xsd:schema xmlns:xsd="http://www.w3.org/2001/XMLSchema" xmlns:xs="http://www.w3.org/2001/XMLSchema" xmlns:p="http://schemas.microsoft.com/office/2006/metadata/properties" xmlns:ns2="10874f7c-4f02-4c90-860d-61b2e93d56d4" targetNamespace="http://schemas.microsoft.com/office/2006/metadata/properties" ma:root="true" ma:fieldsID="eb7c9fd6ebb641e429e797d8c48270e2" ns2:_="">
    <xsd:import namespace="10874f7c-4f02-4c90-860d-61b2e93d5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74f7c-4f02-4c90-860d-61b2e93d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DB1C6A-3CCC-4CD2-AA55-EECDE1080CD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82C0D4-4BAF-4568-9CBF-2CC44E51C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1CE27-CFC1-4B31-B522-6B26DFEE9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874f7c-4f02-4c90-860d-61b2e93d5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Horia Stefan</dc:creator>
  <cp:keywords/>
  <dc:description/>
  <cp:lastModifiedBy>Venkata Sai Praneeth Kumar Peyyeti</cp:lastModifiedBy>
  <cp:revision/>
  <dcterms:created xsi:type="dcterms:W3CDTF">2019-07-25T12:47:05Z</dcterms:created>
  <dcterms:modified xsi:type="dcterms:W3CDTF">2026-07-02T11:37:13Z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0x010100CC1091838290294DBB0632A003CE340C</vt:lpwstr>
  </property>
  <property fmtid="{D5CDD505-2E9C-101B-9397-08002B2CF9AE}" pid="3" name="Example">
    <vt:lpwstr/>
  </property>
  <property fmtid="{D5CDD505-2E9C-101B-9397-08002B2CF9AE}" pid="4" name="MediaServiceImageTags">
    <vt:lpwstr/>
  </property>
</Properties>
</file>